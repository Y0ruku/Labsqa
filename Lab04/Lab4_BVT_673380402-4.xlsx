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mXrN60y5oCfRqHkXKWbECUFrjpZSbcfm+THfTZgaUW8="/>
    </ext>
  </extLst>
</workbook>
</file>

<file path=xl/sharedStrings.xml><?xml version="1.0" encoding="utf-8"?>
<sst xmlns="http://schemas.openxmlformats.org/spreadsheetml/2006/main" count="159" uniqueCount="72">
  <si>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</si>
  <si>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</si>
  <si>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</si>
  <si>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</si>
  <si>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</si>
  <si>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</si>
  <si>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</si>
  <si>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</si>
  <si>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</si>
  <si>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</si>
  <si>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</si>
  <si>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</si>
  <si>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</si>
  <si>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</si>
  <si>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</si>
  <si>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</si>
  <si>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</si>
  <si>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</si>
  <si>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673380402-4</t>
  </si>
  <si>
    <t>min</t>
  </si>
  <si>
    <t xml:space="preserve">Test Strategy: </t>
  </si>
  <si>
    <t>Functional testing - Normal Boundary Value Testing</t>
  </si>
  <si>
    <t xml:space="preserve">Designer: </t>
  </si>
  <si>
    <t>darunphop</t>
  </si>
  <si>
    <t>min+</t>
  </si>
  <si>
    <t xml:space="preserve">Test Environtment: </t>
  </si>
  <si>
    <t>Junit6</t>
  </si>
  <si>
    <t>Date:</t>
  </si>
  <si>
    <t>14/07/2569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</si>
  <si>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</si>
  <si>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</si>
  <si>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</si>
  <si>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</si>
  <si>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</si>
  <si>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</si>
  <si>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</si>
  <si>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</si>
  <si>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</si>
  <si>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</si>
  <si>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9 = Standard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</si>
  <si>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</si>
  <si>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</si>
  <si>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</si>
  <si>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</si>
  <si>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</si>
  <si>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</si>
  <si>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</si>
  <si>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</si>
  <si>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</si>
  <si>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</si>
  <si>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</si>
  <si>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</si>
  <si>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</si>
  <si>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</si>
  <si>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invalid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</si>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</sst>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  <font>
      <sz val="18.0"/>
      <color rgb="FF000000"/>
      <name val="&quot;TH Sarabun PSK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5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horizontal="right"/>
    </xf>
    <xf borderId="1" fillId="0" fontId="5" numFmtId="0" xfId="0" applyAlignment="1" applyBorder="1" applyFont="1">
      <alignment horizontal="right" readingOrder="0" shrinkToFit="0" vertical="bottom" wrapText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89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7">
        <v>19.0</v>
      </c>
      <c r="C4" s="7">
        <v>19.0</v>
      </c>
      <c r="D4" s="7">
        <v>0.0</v>
      </c>
      <c r="E4" s="7">
        <v>0.0</v>
      </c>
      <c r="F4" s="7">
        <v>0.0</v>
      </c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6"/>
      <c r="C5" s="6"/>
      <c r="D5" s="6"/>
      <c r="E5" s="6"/>
      <c r="F5" s="6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9</v>
      </c>
      <c r="B6" s="7">
        <v>32.0</v>
      </c>
      <c r="C6" s="11">
        <v>32.0</v>
      </c>
      <c r="D6" s="12">
        <v>0.0</v>
      </c>
      <c r="E6" s="7">
        <v>0.0</v>
      </c>
      <c r="F6" s="7">
        <v>0.0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19">
        <v>-1.0</v>
      </c>
      <c r="L2" s="19">
        <v>39.0</v>
      </c>
      <c r="M2" s="19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15</v>
      </c>
      <c r="B3" s="21" t="s">
        <v>16</v>
      </c>
      <c r="C3" s="14"/>
      <c r="D3" s="14"/>
      <c r="E3" s="14"/>
      <c r="F3" s="20" t="s">
        <v>17</v>
      </c>
      <c r="G3" s="22" t="s">
        <v>18</v>
      </c>
      <c r="H3" s="1"/>
      <c r="I3" s="1"/>
      <c r="J3" s="6" t="s">
        <v>19</v>
      </c>
      <c r="K3" s="19">
        <v>0.0</v>
      </c>
      <c r="L3" s="19">
        <v>40.0</v>
      </c>
      <c r="M3" s="19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20</v>
      </c>
      <c r="B4" s="21" t="s">
        <v>21</v>
      </c>
      <c r="C4" s="14"/>
      <c r="D4" s="14"/>
      <c r="E4" s="14"/>
      <c r="F4" s="20" t="s">
        <v>22</v>
      </c>
      <c r="G4" s="22" t="s">
        <v>23</v>
      </c>
      <c r="H4" s="1"/>
      <c r="I4" s="1"/>
      <c r="J4" s="6" t="s">
        <v>24</v>
      </c>
      <c r="K4" s="19">
        <v>1.0</v>
      </c>
      <c r="L4" s="19">
        <v>41.0</v>
      </c>
      <c r="M4" s="19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 t="s">
        <v>26</v>
      </c>
      <c r="C5" s="14"/>
      <c r="D5" s="14"/>
      <c r="E5" s="15"/>
      <c r="F5" s="20" t="s">
        <v>27</v>
      </c>
      <c r="G5" s="22" t="s">
        <v>28</v>
      </c>
      <c r="H5" s="1"/>
      <c r="I5" s="1"/>
      <c r="J5" s="6" t="s">
        <v>29</v>
      </c>
      <c r="K5" s="19">
        <v>45.0</v>
      </c>
      <c r="L5" s="19">
        <v>70.0</v>
      </c>
      <c r="M5" s="19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19">
        <v>60.0</v>
      </c>
      <c r="L6" s="19">
        <v>219.0</v>
      </c>
      <c r="M6" s="1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19">
        <v>61.0</v>
      </c>
      <c r="L7" s="19">
        <v>220.0</v>
      </c>
      <c r="M7" s="1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11</v>
      </c>
      <c r="C8" s="17" t="s">
        <v>12</v>
      </c>
      <c r="D8" s="17" t="s">
        <v>13</v>
      </c>
      <c r="E8" s="28"/>
      <c r="F8" s="28"/>
      <c r="G8" s="28"/>
      <c r="H8" s="1"/>
      <c r="I8" s="1"/>
      <c r="J8" s="6" t="s">
        <v>37</v>
      </c>
      <c r="K8" s="19">
        <v>62.0</v>
      </c>
      <c r="L8" s="19">
        <v>221.0</v>
      </c>
      <c r="M8" s="1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22">
        <v>45.0</v>
      </c>
      <c r="C9" s="22">
        <v>70.0</v>
      </c>
      <c r="D9" s="22">
        <v>15.0</v>
      </c>
      <c r="E9" s="29" t="s">
        <v>39</v>
      </c>
      <c r="F9" s="29" t="s">
        <v>39</v>
      </c>
      <c r="G9" s="30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22">
        <v>0.0</v>
      </c>
      <c r="C10" s="22">
        <v>70.0</v>
      </c>
      <c r="D10" s="22">
        <v>15.0</v>
      </c>
      <c r="E10" s="31" t="str">
        <f t="shared" ref="E10:F10" si="1">(AVERAGE(0+3+3)) &amp; " = Standard"</f>
        <v>6 = Standard</v>
      </c>
      <c r="F10" s="31" t="str">
        <f t="shared" si="1"/>
        <v>6 = Standard</v>
      </c>
      <c r="G10" s="30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22">
        <v>1.0</v>
      </c>
      <c r="C11" s="22">
        <v>70.0</v>
      </c>
      <c r="D11" s="22">
        <v>15.0</v>
      </c>
      <c r="E11" s="31" t="str">
        <f t="shared" ref="E11:F11" si="2">(AVERAGE(0+3+3)) &amp; " = Standard"</f>
        <v>6 = Standard</v>
      </c>
      <c r="F11" s="31" t="str">
        <f t="shared" si="2"/>
        <v>6 = Standard</v>
      </c>
      <c r="G11" s="30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22">
        <v>60.0</v>
      </c>
      <c r="C12" s="22">
        <v>70.0</v>
      </c>
      <c r="D12" s="22">
        <v>15.0</v>
      </c>
      <c r="E12" s="31" t="str">
        <f t="shared" ref="E12:F12" si="3">(AVERAGE(4+3+3)) &amp; " = Standard"</f>
        <v>10 = Standard</v>
      </c>
      <c r="F12" s="31" t="str">
        <f t="shared" si="3"/>
        <v>10 = Standard</v>
      </c>
      <c r="G12" s="30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22">
        <v>61.0</v>
      </c>
      <c r="C13" s="22">
        <v>70.0</v>
      </c>
      <c r="D13" s="22">
        <v>15.0</v>
      </c>
      <c r="E13" s="31" t="str">
        <f t="shared" ref="E13:F13" si="4">(AVERAGE(5+3+3)) &amp; " = Standard"</f>
        <v>11 = Standard</v>
      </c>
      <c r="F13" s="31" t="str">
        <f t="shared" si="4"/>
        <v>11 = Standard</v>
      </c>
      <c r="G13" s="30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44</v>
      </c>
      <c r="B14" s="22">
        <v>45.0</v>
      </c>
      <c r="C14" s="22">
        <v>40.0</v>
      </c>
      <c r="D14" s="22">
        <v>15.0</v>
      </c>
      <c r="E14" s="31" t="str">
        <f t="shared" ref="E14:F14" si="5">(AVERAGE(3+5+3)) &amp; " = Standard"</f>
        <v>11 = Standard</v>
      </c>
      <c r="F14" s="31" t="str">
        <f t="shared" si="5"/>
        <v>11 = Standard</v>
      </c>
      <c r="G14" s="30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45</v>
      </c>
      <c r="B15" s="22">
        <v>45.0</v>
      </c>
      <c r="C15" s="22">
        <v>41.0</v>
      </c>
      <c r="D15" s="22">
        <v>15.0</v>
      </c>
      <c r="E15" s="31" t="str">
        <f t="shared" ref="E15:F15" si="6">(AVERAGE(3+5+3)) &amp; " = Standard"</f>
        <v>11 = Standard</v>
      </c>
      <c r="F15" s="31" t="str">
        <f t="shared" si="6"/>
        <v>11 = Standard</v>
      </c>
      <c r="G15" s="30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46</v>
      </c>
      <c r="B16" s="22">
        <v>45.0</v>
      </c>
      <c r="C16" s="22">
        <v>219.0</v>
      </c>
      <c r="D16" s="22">
        <v>15.0</v>
      </c>
      <c r="E16" s="31" t="str">
        <f t="shared" ref="E16:F16" si="7">(AVERAGE(3+1+3)) &amp; " = Standard"</f>
        <v>7 = Standard</v>
      </c>
      <c r="F16" s="31" t="str">
        <f t="shared" si="7"/>
        <v>7 = Standard</v>
      </c>
      <c r="G16" s="30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47</v>
      </c>
      <c r="B17" s="22">
        <v>45.0</v>
      </c>
      <c r="C17" s="22">
        <v>220.0</v>
      </c>
      <c r="D17" s="22">
        <v>15.0</v>
      </c>
      <c r="E17" s="31" t="str">
        <f t="shared" ref="E17:F17" si="8">(AVERAGE(3+1+3)) &amp; " = Standard"</f>
        <v>7 = Standard</v>
      </c>
      <c r="F17" s="31" t="str">
        <f t="shared" si="8"/>
        <v>7 = Standard</v>
      </c>
      <c r="G17" s="30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48</v>
      </c>
      <c r="B18" s="22">
        <v>45.0</v>
      </c>
      <c r="C18" s="22">
        <v>70.0</v>
      </c>
      <c r="D18" s="22">
        <v>0.0</v>
      </c>
      <c r="E18" s="31" t="str">
        <f t="shared" ref="E18:F18" si="9">(AVERAGE(3+3+1)) &amp; " = Standard"</f>
        <v>7 = Standard</v>
      </c>
      <c r="F18" s="31" t="str">
        <f t="shared" si="9"/>
        <v>7 = Standard</v>
      </c>
      <c r="G18" s="30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49</v>
      </c>
      <c r="B19" s="22">
        <v>45.0</v>
      </c>
      <c r="C19" s="22">
        <v>70.0</v>
      </c>
      <c r="D19" s="22">
        <v>1.0</v>
      </c>
      <c r="E19" s="31" t="str">
        <f t="shared" ref="E19:F19" si="10">(AVERAGE(3+3+1)) &amp; " = Standard"</f>
        <v>7 = Standard</v>
      </c>
      <c r="F19" s="31" t="str">
        <f t="shared" si="10"/>
        <v>7 = Standard</v>
      </c>
      <c r="G19" s="30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50</v>
      </c>
      <c r="B20" s="22">
        <v>45.0</v>
      </c>
      <c r="C20" s="22">
        <v>70.0</v>
      </c>
      <c r="D20" s="22">
        <v>29.0</v>
      </c>
      <c r="E20" s="31" t="str">
        <f t="shared" ref="E20:F20" si="11">(AVERAGE(3+3+5)) &amp; " = Standard"</f>
        <v>11 = Standard</v>
      </c>
      <c r="F20" s="31" t="str">
        <f t="shared" si="11"/>
        <v>11 = Standard</v>
      </c>
      <c r="G20" s="30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51</v>
      </c>
      <c r="B21" s="22">
        <v>45.0</v>
      </c>
      <c r="C21" s="22">
        <v>70.0</v>
      </c>
      <c r="D21" s="22">
        <v>30.0</v>
      </c>
      <c r="E21" s="31" t="str">
        <f t="shared" ref="E21:F21" si="12">(AVERAGE(3+3+5)) &amp; " = Standard"</f>
        <v>11 = Standard</v>
      </c>
      <c r="F21" s="31" t="str">
        <f t="shared" si="12"/>
        <v>11 = Standard</v>
      </c>
      <c r="G21" s="30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19">
        <v>-1.0</v>
      </c>
      <c r="L2" s="19">
        <v>39.0</v>
      </c>
      <c r="M2" s="19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15</v>
      </c>
      <c r="B3" s="21" t="s">
        <v>52</v>
      </c>
      <c r="C3" s="14"/>
      <c r="D3" s="14"/>
      <c r="E3" s="14"/>
      <c r="F3" s="20" t="s">
        <v>17</v>
      </c>
      <c r="G3" s="22" t="s">
        <v>18</v>
      </c>
      <c r="H3" s="1"/>
      <c r="I3" s="1"/>
      <c r="J3" s="6" t="s">
        <v>19</v>
      </c>
      <c r="K3" s="19">
        <v>0.0</v>
      </c>
      <c r="L3" s="19">
        <v>40.0</v>
      </c>
      <c r="M3" s="19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20</v>
      </c>
      <c r="B4" s="21" t="s">
        <v>53</v>
      </c>
      <c r="C4" s="14"/>
      <c r="D4" s="14"/>
      <c r="E4" s="14"/>
      <c r="F4" s="20" t="s">
        <v>22</v>
      </c>
      <c r="G4" s="22" t="s">
        <v>23</v>
      </c>
      <c r="H4" s="1"/>
      <c r="I4" s="1"/>
      <c r="J4" s="6" t="s">
        <v>24</v>
      </c>
      <c r="K4" s="19">
        <v>1.0</v>
      </c>
      <c r="L4" s="19">
        <v>41.0</v>
      </c>
      <c r="M4" s="19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25</v>
      </c>
      <c r="B5" s="24" t="s">
        <v>26</v>
      </c>
      <c r="C5" s="14"/>
      <c r="D5" s="14"/>
      <c r="E5" s="15"/>
      <c r="F5" s="20" t="s">
        <v>27</v>
      </c>
      <c r="G5" s="22" t="s">
        <v>28</v>
      </c>
      <c r="H5" s="1"/>
      <c r="I5" s="1"/>
      <c r="J5" s="6" t="s">
        <v>29</v>
      </c>
      <c r="K5" s="19">
        <v>45.0</v>
      </c>
      <c r="L5" s="19">
        <v>70.0</v>
      </c>
      <c r="M5" s="19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19">
        <v>60.0</v>
      </c>
      <c r="L6" s="19">
        <v>219.0</v>
      </c>
      <c r="M6" s="1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19">
        <v>61.0</v>
      </c>
      <c r="L7" s="19">
        <v>220.0</v>
      </c>
      <c r="M7" s="1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11</v>
      </c>
      <c r="C8" s="17" t="s">
        <v>12</v>
      </c>
      <c r="D8" s="17" t="s">
        <v>13</v>
      </c>
      <c r="E8" s="28"/>
      <c r="F8" s="28"/>
      <c r="G8" s="28"/>
      <c r="H8" s="1"/>
      <c r="I8" s="1"/>
      <c r="J8" s="6" t="s">
        <v>37</v>
      </c>
      <c r="K8" s="19">
        <v>62.0</v>
      </c>
      <c r="L8" s="19">
        <v>221.0</v>
      </c>
      <c r="M8" s="1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32">
        <v>45.0</v>
      </c>
      <c r="C9" s="32">
        <v>70.0</v>
      </c>
      <c r="D9" s="32">
        <v>15.0</v>
      </c>
      <c r="E9" s="29" t="s">
        <v>39</v>
      </c>
      <c r="F9" s="29" t="s">
        <v>39</v>
      </c>
      <c r="G9" s="22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22">
        <v>-1.0</v>
      </c>
      <c r="C10" s="22">
        <v>70.0</v>
      </c>
      <c r="D10" s="22">
        <v>15.0</v>
      </c>
      <c r="E10" s="29" t="s">
        <v>54</v>
      </c>
      <c r="F10" s="29" t="s">
        <v>54</v>
      </c>
      <c r="G10" s="22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22">
        <v>0.0</v>
      </c>
      <c r="C11" s="22">
        <v>70.0</v>
      </c>
      <c r="D11" s="22">
        <v>15.0</v>
      </c>
      <c r="E11" s="31" t="str">
        <f t="shared" ref="E11:F11" si="1">(AVERAGE(0+3+3)) &amp; " = Standard"</f>
        <v>6 = Standard</v>
      </c>
      <c r="F11" s="31" t="str">
        <f t="shared" si="1"/>
        <v>6 = Standard</v>
      </c>
      <c r="G11" s="22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22">
        <v>1.0</v>
      </c>
      <c r="C12" s="22">
        <v>70.0</v>
      </c>
      <c r="D12" s="22">
        <v>15.0</v>
      </c>
      <c r="E12" s="31" t="str">
        <f t="shared" ref="E12:F12" si="2">(AVERAGE(0+3+3)) &amp; " = Standard"</f>
        <v>6 = Standard</v>
      </c>
      <c r="F12" s="31" t="str">
        <f t="shared" si="2"/>
        <v>6 = Standard</v>
      </c>
      <c r="G12" s="22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22">
        <v>60.0</v>
      </c>
      <c r="C13" s="22">
        <v>70.0</v>
      </c>
      <c r="D13" s="22">
        <v>15.0</v>
      </c>
      <c r="E13" s="31" t="str">
        <f t="shared" ref="E13:F13" si="3">(AVERAGE(4+3+3)) &amp; " = Standard"</f>
        <v>10 = Standard</v>
      </c>
      <c r="F13" s="31" t="str">
        <f t="shared" si="3"/>
        <v>10 = Standard</v>
      </c>
      <c r="G13" s="22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44</v>
      </c>
      <c r="B14" s="22">
        <v>61.0</v>
      </c>
      <c r="C14" s="22">
        <v>70.0</v>
      </c>
      <c r="D14" s="22">
        <v>15.0</v>
      </c>
      <c r="E14" s="31" t="str">
        <f t="shared" ref="E14:F14" si="4">(AVERAGE(5+3+3)) &amp; " = Standard"</f>
        <v>11 = Standard</v>
      </c>
      <c r="F14" s="31" t="str">
        <f t="shared" si="4"/>
        <v>11 = Standard</v>
      </c>
      <c r="G14" s="22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45</v>
      </c>
      <c r="B15" s="22">
        <v>62.0</v>
      </c>
      <c r="C15" s="22">
        <v>70.0</v>
      </c>
      <c r="D15" s="22">
        <v>15.0</v>
      </c>
      <c r="E15" s="31" t="str">
        <f t="shared" ref="E15:F15" si="5">(AVERAGE(5+3+3)) &amp; " = Standard"</f>
        <v>11 = Standard</v>
      </c>
      <c r="F15" s="31" t="str">
        <f t="shared" si="5"/>
        <v>11 = Standard</v>
      </c>
      <c r="G15" s="22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46</v>
      </c>
      <c r="B16" s="22">
        <v>45.0</v>
      </c>
      <c r="C16" s="22">
        <v>39.0</v>
      </c>
      <c r="D16" s="22">
        <v>15.0</v>
      </c>
      <c r="E16" s="29" t="s">
        <v>54</v>
      </c>
      <c r="F16" s="29" t="s">
        <v>54</v>
      </c>
      <c r="G16" s="22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47</v>
      </c>
      <c r="B17" s="22">
        <v>45.0</v>
      </c>
      <c r="C17" s="22">
        <v>40.0</v>
      </c>
      <c r="D17" s="22">
        <v>15.0</v>
      </c>
      <c r="E17" s="31" t="str">
        <f t="shared" ref="E17:F17" si="6">(AVERAGE(3+5+3)) &amp; " = Standard"</f>
        <v>11 = Standard</v>
      </c>
      <c r="F17" s="31" t="str">
        <f t="shared" si="6"/>
        <v>11 = Standard</v>
      </c>
      <c r="G17" s="22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48</v>
      </c>
      <c r="B18" s="22">
        <v>45.0</v>
      </c>
      <c r="C18" s="22">
        <v>41.0</v>
      </c>
      <c r="D18" s="22">
        <v>15.0</v>
      </c>
      <c r="E18" s="31" t="str">
        <f t="shared" ref="E18:F18" si="7">(AVERAGE(3+5+3)) &amp; " = Standard"</f>
        <v>11 = Standard</v>
      </c>
      <c r="F18" s="31" t="str">
        <f t="shared" si="7"/>
        <v>11 = Standard</v>
      </c>
      <c r="G18" s="22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49</v>
      </c>
      <c r="B19" s="22">
        <v>45.0</v>
      </c>
      <c r="C19" s="22">
        <v>219.0</v>
      </c>
      <c r="D19" s="22">
        <v>15.0</v>
      </c>
      <c r="E19" s="31" t="str">
        <f t="shared" ref="E19:F19" si="8">(AVERAGE(3+1+3)) &amp; " = Standard"</f>
        <v>7 = Standard</v>
      </c>
      <c r="F19" s="31" t="str">
        <f t="shared" si="8"/>
        <v>7 = Standard</v>
      </c>
      <c r="G19" s="22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50</v>
      </c>
      <c r="B20" s="22">
        <v>45.0</v>
      </c>
      <c r="C20" s="22">
        <v>220.0</v>
      </c>
      <c r="D20" s="22">
        <v>15.0</v>
      </c>
      <c r="E20" s="31" t="str">
        <f t="shared" ref="E20:F20" si="9">(AVERAGE(3+1+3)) &amp; " = Standard"</f>
        <v>7 = Standard</v>
      </c>
      <c r="F20" s="31" t="str">
        <f t="shared" si="9"/>
        <v>7 = Standard</v>
      </c>
      <c r="G20" s="22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3" t="s">
        <v>51</v>
      </c>
      <c r="B21" s="34">
        <v>45.0</v>
      </c>
      <c r="C21" s="34">
        <v>221.0</v>
      </c>
      <c r="D21" s="34">
        <v>15.0</v>
      </c>
      <c r="E21" s="29" t="s">
        <v>54</v>
      </c>
      <c r="F21" s="29" t="s">
        <v>54</v>
      </c>
      <c r="G21" s="22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55</v>
      </c>
      <c r="B22" s="22">
        <v>45.0</v>
      </c>
      <c r="C22" s="22">
        <v>70.0</v>
      </c>
      <c r="D22" s="32">
        <v>-1.0</v>
      </c>
      <c r="E22" s="29" t="s">
        <v>54</v>
      </c>
      <c r="F22" s="29" t="s">
        <v>54</v>
      </c>
      <c r="G22" s="22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56</v>
      </c>
      <c r="B23" s="22">
        <v>45.0</v>
      </c>
      <c r="C23" s="22">
        <v>70.0</v>
      </c>
      <c r="D23" s="32">
        <v>0.0</v>
      </c>
      <c r="E23" s="31" t="str">
        <f t="shared" ref="E23:F23" si="10">AVERAGE(3+3+1)&amp; " = Standard"</f>
        <v>7 = Standard</v>
      </c>
      <c r="F23" s="31" t="str">
        <f t="shared" si="10"/>
        <v>7 = Standard</v>
      </c>
      <c r="G23" s="22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57</v>
      </c>
      <c r="B24" s="22">
        <v>45.0</v>
      </c>
      <c r="C24" s="22">
        <v>70.0</v>
      </c>
      <c r="D24" s="32">
        <v>1.0</v>
      </c>
      <c r="E24" s="31" t="str">
        <f t="shared" ref="E24:F24" si="11">AVERAGE(3+3+1)&amp; " = Standard"</f>
        <v>7 = Standard</v>
      </c>
      <c r="F24" s="31" t="str">
        <f t="shared" si="11"/>
        <v>7 = Standard</v>
      </c>
      <c r="G24" s="22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58</v>
      </c>
      <c r="B25" s="22">
        <v>45.0</v>
      </c>
      <c r="C25" s="22">
        <v>70.0</v>
      </c>
      <c r="D25" s="32">
        <v>29.0</v>
      </c>
      <c r="E25" s="31" t="str">
        <f t="shared" ref="E25:F25" si="12">AVERAGE(3+3+5)&amp; " = Standard"</f>
        <v>11 = Standard</v>
      </c>
      <c r="F25" s="31" t="str">
        <f t="shared" si="12"/>
        <v>11 = Standard</v>
      </c>
      <c r="G25" s="22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59</v>
      </c>
      <c r="B26" s="22">
        <v>45.0</v>
      </c>
      <c r="C26" s="22">
        <v>70.0</v>
      </c>
      <c r="D26" s="32">
        <v>30.0</v>
      </c>
      <c r="E26" s="31" t="str">
        <f t="shared" ref="E26:F26" si="13">AVERAGE(3+3+5)&amp; " = Standard"</f>
        <v>11 = Standard</v>
      </c>
      <c r="F26" s="31" t="str">
        <f t="shared" si="13"/>
        <v>11 = Standard</v>
      </c>
      <c r="G26" s="22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60</v>
      </c>
      <c r="B27" s="22">
        <v>45.0</v>
      </c>
      <c r="C27" s="22">
        <v>70.0</v>
      </c>
      <c r="D27" s="32">
        <v>31.0</v>
      </c>
      <c r="E27" s="31" t="str">
        <f t="shared" ref="E27:F27" si="14">AVERAGE(3+3+5)&amp; " = Standard"</f>
        <v>11 = Standard</v>
      </c>
      <c r="F27" s="31" t="str">
        <f t="shared" si="14"/>
        <v>11 = Standard</v>
      </c>
      <c r="G27" s="22" t="s">
        <v>2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61</v>
      </c>
      <c r="B2" s="35" t="s">
        <v>62</v>
      </c>
      <c r="C2" s="35" t="s">
        <v>63</v>
      </c>
      <c r="D2" s="36" t="s">
        <v>64</v>
      </c>
      <c r="E2" s="35" t="s">
        <v>65</v>
      </c>
      <c r="F2" s="35" t="s">
        <v>66</v>
      </c>
      <c r="G2" s="35" t="s">
        <v>67</v>
      </c>
      <c r="H2" s="35" t="s">
        <v>68</v>
      </c>
      <c r="I2" s="35" t="s">
        <v>69</v>
      </c>
      <c r="J2" s="35" t="s">
        <v>70</v>
      </c>
      <c r="K2" s="35" t="s">
        <v>71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37"/>
      <c r="C3" s="37"/>
      <c r="D3" s="38"/>
      <c r="E3" s="37"/>
      <c r="F3" s="37"/>
      <c r="G3" s="37"/>
      <c r="H3" s="37"/>
      <c r="I3" s="37"/>
      <c r="J3" s="37"/>
      <c r="K3" s="3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